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th\Documents\HANS\Arbeit\"/>
    </mc:Choice>
  </mc:AlternateContent>
  <xr:revisionPtr revIDLastSave="0" documentId="13_ncr:1_{8250B8A1-306C-4F3D-98DA-8AACF043EC4F}" xr6:coauthVersionLast="47" xr6:coauthVersionMax="47" xr10:uidLastSave="{00000000-0000-0000-0000-000000000000}"/>
  <bookViews>
    <workbookView xWindow="-108" yWindow="-108" windowWidth="23256" windowHeight="12456" xr2:uid="{0492EBD4-DE76-4DA3-9C70-F68E34BA5DC6}"/>
  </bookViews>
  <sheets>
    <sheet name="Tabelle1" sheetId="1" r:id="rId1"/>
  </sheets>
  <definedNames>
    <definedName name="_xlnm.Print_Titles" localSheetId="0">Tabelle1!$1:$5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2" i="1" l="1"/>
</calcChain>
</file>

<file path=xl/sharedStrings.xml><?xml version="1.0" encoding="utf-8"?>
<sst xmlns="http://schemas.openxmlformats.org/spreadsheetml/2006/main" count="142" uniqueCount="56">
  <si>
    <t>Lager Gurk</t>
  </si>
  <si>
    <t>Bestand 13.03.2025</t>
  </si>
  <si>
    <t>Sorte</t>
  </si>
  <si>
    <t>Behälter</t>
  </si>
  <si>
    <t>Prod</t>
  </si>
  <si>
    <t>Charge</t>
  </si>
  <si>
    <t>Menge/kg</t>
  </si>
  <si>
    <t>Menge/lt</t>
  </si>
  <si>
    <t>Vol%</t>
  </si>
  <si>
    <t>Spez.</t>
  </si>
  <si>
    <t>LA</t>
  </si>
  <si>
    <t xml:space="preserve">Sprit </t>
  </si>
  <si>
    <t>Dest</t>
  </si>
  <si>
    <t>T 341</t>
  </si>
  <si>
    <t>P30000-60</t>
  </si>
  <si>
    <t>GFKC - M</t>
  </si>
  <si>
    <t>M</t>
  </si>
  <si>
    <t>T 349</t>
  </si>
  <si>
    <t>GFKC-M</t>
  </si>
  <si>
    <t>T 342</t>
  </si>
  <si>
    <t>T 1536</t>
  </si>
  <si>
    <t>2201-2400</t>
  </si>
  <si>
    <t>Fass</t>
  </si>
  <si>
    <t>Königskerze</t>
  </si>
  <si>
    <t>Fl</t>
  </si>
  <si>
    <t>B</t>
  </si>
  <si>
    <t>Pfefferminze</t>
  </si>
  <si>
    <t>T 343</t>
  </si>
  <si>
    <t>IBC</t>
  </si>
  <si>
    <t>2301/2018</t>
  </si>
  <si>
    <t>Zitronenmelisse</t>
  </si>
  <si>
    <t>T 345</t>
  </si>
  <si>
    <t>2201/2400</t>
  </si>
  <si>
    <t>T 346</t>
  </si>
  <si>
    <t>Thymian</t>
  </si>
  <si>
    <t>T 348</t>
  </si>
  <si>
    <t>Salbei</t>
  </si>
  <si>
    <t>T 338</t>
  </si>
  <si>
    <t>2203/2400</t>
  </si>
  <si>
    <t>Mariendistel</t>
  </si>
  <si>
    <t>Benedikten</t>
  </si>
  <si>
    <t>Baldrian</t>
  </si>
  <si>
    <t>Zirbe</t>
  </si>
  <si>
    <t>K</t>
  </si>
  <si>
    <t>GFKC-A</t>
  </si>
  <si>
    <t>VL Zirbe</t>
  </si>
  <si>
    <t>Sbl</t>
  </si>
  <si>
    <t>GFKC-K</t>
  </si>
  <si>
    <t>Cont</t>
  </si>
  <si>
    <t>Oregano</t>
  </si>
  <si>
    <t>Sauvignon Bl</t>
  </si>
  <si>
    <t>Marc d SWS</t>
  </si>
  <si>
    <t>CS 2015-1</t>
  </si>
  <si>
    <t>X-2016</t>
  </si>
  <si>
    <t>S1 2013</t>
  </si>
  <si>
    <t>S3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</si>
</sst>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1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165" fontId="4" fillId="0" borderId="1" xfId="0" applyNumberFormat="1" applyFont="1" applyBorder="1"/>
    <xf numFmtId="164" fontId="4" fillId="0" borderId="1" xfId="0" applyNumberFormat="1" applyFont="1" applyBorder="1"/>
    <xf numFmtId="4" fontId="3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C9E3-CC63-451C-978C-848DC023E8F8}">
  <sheetPr>
    <pageSetUpPr fitToPage="1"/>
  </sheetPr>
  <dimension ref="A1:K82"/>
  <sheetViews>
    <sheetView tabSelected="1" topLeftCell="A52" zoomScaleNormal="100" workbookViewId="0">
      <selection activeCell="N63" sqref="N63"/>
    </sheetView>
  </sheetViews>
  <sheetFormatPr baseColWidth="10" defaultRowHeight="14.4" x14ac:dyDescent="0.3"/>
  <cols>
    <col min="1" max="1" width="21.109375" customWidth="1"/>
    <col min="2" max="2" width="7.88671875" customWidth="1"/>
    <col min="3" max="3" width="8.5546875" customWidth="1"/>
    <col min="7" max="7" width="9.6640625" customWidth="1"/>
    <col min="10" max="10" width="0.33203125" customWidth="1"/>
  </cols>
  <sheetData>
    <row r="1" spans="1:10" ht="21" x14ac:dyDescent="0.4">
      <c r="A1" s="1" t="s">
        <v>0</v>
      </c>
    </row>
    <row r="3" spans="1:10" ht="15.6" x14ac:dyDescent="0.3">
      <c r="A3" s="2" t="s">
        <v>1</v>
      </c>
      <c r="B3" s="3"/>
    </row>
    <row r="5" spans="1:10" x14ac:dyDescent="0.3">
      <c r="A5" s="7" t="s">
        <v>2</v>
      </c>
      <c r="B5" s="7" t="s">
        <v>4</v>
      </c>
      <c r="C5" s="7" t="s">
        <v>3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/>
    </row>
    <row r="6" spans="1:10" ht="22.8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15.6" x14ac:dyDescent="0.3">
      <c r="A7" s="8" t="s">
        <v>11</v>
      </c>
      <c r="B7" s="9" t="s">
        <v>12</v>
      </c>
      <c r="C7" s="9" t="s">
        <v>13</v>
      </c>
      <c r="D7" s="9" t="s">
        <v>14</v>
      </c>
      <c r="E7" s="9"/>
      <c r="F7" s="10">
        <v>3330</v>
      </c>
      <c r="G7" s="9">
        <v>60</v>
      </c>
      <c r="H7" s="9">
        <v>0.91120000000000001</v>
      </c>
      <c r="I7" s="11">
        <v>1998</v>
      </c>
      <c r="J7" s="6"/>
    </row>
    <row r="8" spans="1:10" ht="15.6" x14ac:dyDescent="0.3">
      <c r="A8" s="8"/>
      <c r="B8" s="9"/>
      <c r="C8" s="9"/>
      <c r="D8" s="9"/>
      <c r="E8" s="9"/>
      <c r="F8" s="9"/>
      <c r="G8" s="9"/>
      <c r="H8" s="9"/>
      <c r="I8" s="9"/>
      <c r="J8" s="5"/>
    </row>
    <row r="9" spans="1:10" ht="15.6" x14ac:dyDescent="0.3">
      <c r="A9" s="8" t="s">
        <v>15</v>
      </c>
      <c r="B9" s="9" t="s">
        <v>16</v>
      </c>
      <c r="C9" s="9" t="s">
        <v>17</v>
      </c>
      <c r="D9" s="9" t="s">
        <v>18</v>
      </c>
      <c r="E9" s="9"/>
      <c r="F9" s="10">
        <v>6480</v>
      </c>
      <c r="G9" s="9">
        <v>53.5</v>
      </c>
      <c r="H9" s="9">
        <v>0.92569999999999997</v>
      </c>
      <c r="I9" s="11">
        <v>3466.8</v>
      </c>
      <c r="J9" s="5"/>
    </row>
    <row r="10" spans="1:10" ht="15.6" x14ac:dyDescent="0.3">
      <c r="A10" s="8"/>
      <c r="B10" s="9" t="s">
        <v>16</v>
      </c>
      <c r="C10" s="9" t="s">
        <v>19</v>
      </c>
      <c r="D10" s="9" t="s">
        <v>18</v>
      </c>
      <c r="E10" s="9"/>
      <c r="F10" s="10">
        <v>3360</v>
      </c>
      <c r="G10" s="9">
        <v>55.5</v>
      </c>
      <c r="H10" s="9">
        <v>0.91379999999999995</v>
      </c>
      <c r="I10" s="11">
        <v>1864.8</v>
      </c>
      <c r="J10" s="5"/>
    </row>
    <row r="11" spans="1:10" ht="15.6" x14ac:dyDescent="0.3">
      <c r="A11" s="8"/>
      <c r="B11" s="9"/>
      <c r="C11" s="9"/>
      <c r="D11" s="9"/>
      <c r="E11" s="9"/>
      <c r="F11" s="9"/>
      <c r="G11" s="9"/>
      <c r="H11" s="9"/>
      <c r="I11" s="9"/>
      <c r="J11" s="5"/>
    </row>
    <row r="12" spans="1:10" ht="15.6" x14ac:dyDescent="0.3">
      <c r="A12" s="8" t="s">
        <v>23</v>
      </c>
      <c r="B12" s="9" t="s">
        <v>16</v>
      </c>
      <c r="C12" s="9" t="s">
        <v>20</v>
      </c>
      <c r="D12" s="9" t="s">
        <v>21</v>
      </c>
      <c r="E12" s="9"/>
      <c r="F12" s="10">
        <v>845</v>
      </c>
      <c r="G12" s="9">
        <v>54</v>
      </c>
      <c r="H12" s="9">
        <v>0.93010000000000004</v>
      </c>
      <c r="I12" s="11">
        <v>456.3</v>
      </c>
      <c r="J12" s="5"/>
    </row>
    <row r="13" spans="1:10" ht="15.6" x14ac:dyDescent="0.3">
      <c r="A13" s="8"/>
      <c r="B13" s="9" t="s">
        <v>12</v>
      </c>
      <c r="C13" s="9" t="s">
        <v>22</v>
      </c>
      <c r="D13" s="9">
        <v>141618</v>
      </c>
      <c r="E13" s="9">
        <v>79</v>
      </c>
      <c r="F13" s="10">
        <v>89</v>
      </c>
      <c r="G13" s="9">
        <v>77.5</v>
      </c>
      <c r="H13" s="9">
        <v>0.88729999999999998</v>
      </c>
      <c r="I13" s="11">
        <v>68.98</v>
      </c>
      <c r="J13" s="5"/>
    </row>
    <row r="14" spans="1:10" ht="15.6" x14ac:dyDescent="0.3">
      <c r="A14" s="8"/>
      <c r="B14" s="9" t="s">
        <v>16</v>
      </c>
      <c r="C14" s="9" t="s">
        <v>24</v>
      </c>
      <c r="D14" s="9">
        <v>1301</v>
      </c>
      <c r="E14" s="9">
        <v>0</v>
      </c>
      <c r="F14" s="11">
        <v>6.75</v>
      </c>
      <c r="G14" s="9">
        <v>54.3</v>
      </c>
      <c r="H14" s="9">
        <v>0.92310000000000003</v>
      </c>
      <c r="I14" s="11">
        <v>3.67</v>
      </c>
      <c r="J14" s="5"/>
    </row>
    <row r="15" spans="1:10" ht="15.6" x14ac:dyDescent="0.3">
      <c r="A15" s="8"/>
      <c r="B15" s="9" t="s">
        <v>16</v>
      </c>
      <c r="C15" s="9" t="s">
        <v>25</v>
      </c>
      <c r="D15" s="9">
        <v>1801</v>
      </c>
      <c r="E15" s="12">
        <v>16</v>
      </c>
      <c r="F15" s="13">
        <v>16.8</v>
      </c>
      <c r="G15" s="9">
        <v>39.200000000000003</v>
      </c>
      <c r="H15" s="9">
        <v>0.92310000000000003</v>
      </c>
      <c r="I15" s="11">
        <v>6.59</v>
      </c>
      <c r="J15" s="5"/>
    </row>
    <row r="16" spans="1:10" ht="15.6" x14ac:dyDescent="0.3">
      <c r="A16" s="8"/>
      <c r="B16" s="9"/>
      <c r="C16" s="9"/>
      <c r="D16" s="9"/>
      <c r="E16" s="9"/>
      <c r="F16" s="9"/>
      <c r="G16" s="9"/>
      <c r="H16" s="9"/>
      <c r="I16" s="9"/>
      <c r="J16" s="5"/>
    </row>
    <row r="17" spans="1:10" ht="15.6" x14ac:dyDescent="0.3">
      <c r="A17" s="8" t="s">
        <v>26</v>
      </c>
      <c r="B17" s="9" t="s">
        <v>16</v>
      </c>
      <c r="C17" s="9" t="s">
        <v>27</v>
      </c>
      <c r="D17" s="9">
        <v>2102</v>
      </c>
      <c r="E17" s="9"/>
      <c r="F17" s="10">
        <v>4050</v>
      </c>
      <c r="G17" s="9">
        <v>53.1</v>
      </c>
      <c r="H17" s="9">
        <v>0.92549999999999999</v>
      </c>
      <c r="I17" s="11">
        <v>2150.5500000000002</v>
      </c>
      <c r="J17" s="5"/>
    </row>
    <row r="18" spans="1:10" ht="15.6" x14ac:dyDescent="0.3">
      <c r="A18" s="8"/>
      <c r="B18" s="9" t="s">
        <v>12</v>
      </c>
      <c r="C18" s="9" t="s">
        <v>28</v>
      </c>
      <c r="D18" s="9" t="s">
        <v>29</v>
      </c>
      <c r="E18" s="9">
        <v>424</v>
      </c>
      <c r="F18" s="9">
        <v>493.02</v>
      </c>
      <c r="G18" s="9">
        <v>79.400000000000006</v>
      </c>
      <c r="H18" s="9">
        <v>0.86250000000000004</v>
      </c>
      <c r="I18" s="11">
        <v>391.44</v>
      </c>
      <c r="J18" s="5"/>
    </row>
    <row r="19" spans="1:10" ht="15.6" x14ac:dyDescent="0.3">
      <c r="A19" s="8"/>
      <c r="B19" s="9" t="s">
        <v>12</v>
      </c>
      <c r="C19" s="9" t="s">
        <v>25</v>
      </c>
      <c r="D19" s="9">
        <v>1201</v>
      </c>
      <c r="E19" s="9">
        <v>27</v>
      </c>
      <c r="F19" s="9">
        <v>31</v>
      </c>
      <c r="G19" s="9">
        <v>72.599999999999994</v>
      </c>
      <c r="H19" s="9">
        <v>0.88049999999999995</v>
      </c>
      <c r="I19" s="11">
        <v>22.26</v>
      </c>
      <c r="J19" s="5"/>
    </row>
    <row r="20" spans="1:10" ht="15.6" x14ac:dyDescent="0.3">
      <c r="A20" s="8"/>
      <c r="B20" s="9" t="s">
        <v>12</v>
      </c>
      <c r="C20" s="9" t="s">
        <v>25</v>
      </c>
      <c r="D20" s="9">
        <v>1302</v>
      </c>
      <c r="E20" s="9">
        <v>10</v>
      </c>
      <c r="F20" s="9">
        <v>11.3</v>
      </c>
      <c r="G20" s="9">
        <v>71.8</v>
      </c>
      <c r="H20" s="9">
        <v>0.88449999999999995</v>
      </c>
      <c r="I20" s="11">
        <v>8.1300000000000008</v>
      </c>
      <c r="J20" s="5"/>
    </row>
    <row r="21" spans="1:10" ht="15.6" x14ac:dyDescent="0.3">
      <c r="A21" s="8"/>
      <c r="B21" s="9" t="s">
        <v>12</v>
      </c>
      <c r="C21" s="9" t="s">
        <v>25</v>
      </c>
      <c r="D21" s="9">
        <v>1302</v>
      </c>
      <c r="E21" s="9">
        <v>4</v>
      </c>
      <c r="F21" s="9">
        <v>5</v>
      </c>
      <c r="G21" s="9">
        <v>71.5</v>
      </c>
      <c r="H21" s="9">
        <v>0.88329999999999997</v>
      </c>
      <c r="I21" s="11">
        <v>3.57</v>
      </c>
      <c r="J21" s="5"/>
    </row>
    <row r="22" spans="1:10" ht="15.6" x14ac:dyDescent="0.3">
      <c r="A22" s="8"/>
      <c r="B22" s="9"/>
      <c r="C22" s="9"/>
      <c r="D22" s="9"/>
      <c r="E22" s="9"/>
      <c r="F22" s="9"/>
      <c r="G22" s="9"/>
      <c r="H22" s="9"/>
      <c r="I22" s="9"/>
      <c r="J22" s="5"/>
    </row>
    <row r="23" spans="1:10" ht="15.6" x14ac:dyDescent="0.3">
      <c r="A23" s="8"/>
      <c r="B23" s="9"/>
      <c r="C23" s="9"/>
      <c r="D23" s="9"/>
      <c r="E23" s="9"/>
      <c r="F23" s="9"/>
      <c r="G23" s="9"/>
      <c r="H23" s="9"/>
      <c r="I23" s="9"/>
      <c r="J23" s="5"/>
    </row>
    <row r="24" spans="1:10" ht="15.6" x14ac:dyDescent="0.3">
      <c r="A24" s="8" t="s">
        <v>30</v>
      </c>
      <c r="B24" s="9" t="s">
        <v>16</v>
      </c>
      <c r="C24" s="9" t="s">
        <v>31</v>
      </c>
      <c r="D24" s="9" t="s">
        <v>32</v>
      </c>
      <c r="E24" s="9"/>
      <c r="F24" s="10">
        <v>3060</v>
      </c>
      <c r="G24" s="9">
        <v>52.5</v>
      </c>
      <c r="H24" s="9">
        <v>0.92679999999999996</v>
      </c>
      <c r="I24" s="11">
        <v>1606.5</v>
      </c>
      <c r="J24" s="5"/>
    </row>
    <row r="25" spans="1:10" ht="15.6" x14ac:dyDescent="0.3">
      <c r="A25" s="8"/>
      <c r="B25" s="9" t="s">
        <v>16</v>
      </c>
      <c r="C25" s="9" t="s">
        <v>33</v>
      </c>
      <c r="D25" s="9">
        <v>2201</v>
      </c>
      <c r="E25" s="9"/>
      <c r="F25" s="10">
        <v>3910</v>
      </c>
      <c r="G25" s="9">
        <v>54</v>
      </c>
      <c r="H25" s="9">
        <v>0.93010000000000004</v>
      </c>
      <c r="I25" s="11">
        <v>2111.4</v>
      </c>
      <c r="J25" s="5"/>
    </row>
    <row r="26" spans="1:10" ht="15.6" x14ac:dyDescent="0.3">
      <c r="A26" s="8"/>
      <c r="B26" s="9" t="s">
        <v>12</v>
      </c>
      <c r="C26" s="9" t="s">
        <v>22</v>
      </c>
      <c r="D26" s="9">
        <v>2301</v>
      </c>
      <c r="E26" s="9">
        <v>230</v>
      </c>
      <c r="F26" s="9">
        <v>268</v>
      </c>
      <c r="G26" s="9">
        <v>80.099999999999994</v>
      </c>
      <c r="H26" s="9">
        <v>0.86019999999999996</v>
      </c>
      <c r="I26" s="11">
        <v>215.4</v>
      </c>
      <c r="J26" s="5"/>
    </row>
    <row r="27" spans="1:10" ht="15.6" x14ac:dyDescent="0.3">
      <c r="A27" s="8"/>
      <c r="B27" s="9" t="s">
        <v>12</v>
      </c>
      <c r="C27" s="9" t="s">
        <v>25</v>
      </c>
      <c r="D27" s="9">
        <v>1201</v>
      </c>
      <c r="E27" s="9">
        <v>21</v>
      </c>
      <c r="F27" s="9">
        <v>24</v>
      </c>
      <c r="G27" s="9">
        <v>74.599999999999994</v>
      </c>
      <c r="H27" s="9">
        <v>0.87350000000000005</v>
      </c>
      <c r="I27" s="11">
        <v>17.89</v>
      </c>
      <c r="J27" s="5"/>
    </row>
    <row r="28" spans="1:10" ht="15.6" x14ac:dyDescent="0.3">
      <c r="A28" s="8"/>
      <c r="B28" s="9" t="s">
        <v>12</v>
      </c>
      <c r="C28" s="9" t="s">
        <v>25</v>
      </c>
      <c r="D28" s="9">
        <v>1301</v>
      </c>
      <c r="E28" s="9">
        <v>28</v>
      </c>
      <c r="F28" s="9">
        <v>31.39</v>
      </c>
      <c r="G28" s="9">
        <v>67.900000000000006</v>
      </c>
      <c r="H28" s="9">
        <v>0.89200000000000002</v>
      </c>
      <c r="I28" s="11">
        <v>21.31</v>
      </c>
      <c r="J28" s="5"/>
    </row>
    <row r="29" spans="1:10" ht="15.6" x14ac:dyDescent="0.3">
      <c r="A29" s="8"/>
      <c r="B29" s="9" t="s">
        <v>12</v>
      </c>
      <c r="C29" s="9" t="s">
        <v>25</v>
      </c>
      <c r="D29" s="9">
        <v>1501</v>
      </c>
      <c r="E29" s="9">
        <v>22</v>
      </c>
      <c r="F29" s="9">
        <v>25.3</v>
      </c>
      <c r="G29" s="9">
        <v>76.8</v>
      </c>
      <c r="H29" s="9">
        <v>0.86950000000000005</v>
      </c>
      <c r="I29" s="11">
        <v>19.43</v>
      </c>
      <c r="J29" s="5"/>
    </row>
    <row r="30" spans="1:10" ht="15.6" x14ac:dyDescent="0.3">
      <c r="A30" s="8"/>
      <c r="B30" s="9" t="s">
        <v>12</v>
      </c>
      <c r="C30" s="9" t="s">
        <v>25</v>
      </c>
      <c r="D30" s="9">
        <v>1501</v>
      </c>
      <c r="E30" s="9">
        <v>27</v>
      </c>
      <c r="F30" s="9">
        <v>31</v>
      </c>
      <c r="G30" s="9">
        <v>76.8</v>
      </c>
      <c r="H30" s="9">
        <v>0.86950000000000005</v>
      </c>
      <c r="I30" s="11">
        <v>23.84</v>
      </c>
      <c r="J30" s="5"/>
    </row>
    <row r="31" spans="1:10" ht="15.6" x14ac:dyDescent="0.3">
      <c r="A31" s="8"/>
      <c r="B31" s="9" t="s">
        <v>12</v>
      </c>
      <c r="C31" s="9" t="s">
        <v>25</v>
      </c>
      <c r="D31" s="9">
        <v>1501</v>
      </c>
      <c r="E31" s="9">
        <v>26</v>
      </c>
      <c r="F31" s="9">
        <v>29.9</v>
      </c>
      <c r="G31" s="9">
        <v>76.8</v>
      </c>
      <c r="H31" s="9">
        <v>0.86950000000000005</v>
      </c>
      <c r="I31" s="11">
        <v>22.96</v>
      </c>
      <c r="J31" s="5"/>
    </row>
    <row r="32" spans="1:10" ht="15.6" x14ac:dyDescent="0.3">
      <c r="A32" s="8"/>
      <c r="B32" s="9"/>
      <c r="C32" s="9"/>
      <c r="D32" s="9"/>
      <c r="E32" s="9"/>
      <c r="F32" s="9"/>
      <c r="G32" s="9"/>
      <c r="H32" s="9"/>
      <c r="I32" s="9"/>
      <c r="J32" s="5"/>
    </row>
    <row r="33" spans="1:10" ht="15.6" x14ac:dyDescent="0.3">
      <c r="A33" s="8"/>
      <c r="B33" s="9"/>
      <c r="C33" s="9"/>
      <c r="D33" s="9"/>
      <c r="E33" s="9"/>
      <c r="F33" s="9"/>
      <c r="G33" s="9"/>
      <c r="H33" s="9"/>
      <c r="I33" s="9"/>
      <c r="J33" s="5"/>
    </row>
    <row r="34" spans="1:10" ht="15.6" x14ac:dyDescent="0.3">
      <c r="A34" s="8" t="s">
        <v>34</v>
      </c>
      <c r="B34" s="9" t="s">
        <v>16</v>
      </c>
      <c r="C34" s="9" t="s">
        <v>35</v>
      </c>
      <c r="D34" s="9">
        <v>2400</v>
      </c>
      <c r="E34" s="9"/>
      <c r="F34" s="10">
        <v>1350</v>
      </c>
      <c r="G34" s="9">
        <v>55.2</v>
      </c>
      <c r="H34" s="9">
        <v>0.92110000000000003</v>
      </c>
      <c r="I34" s="11">
        <v>745.2</v>
      </c>
      <c r="J34" s="5"/>
    </row>
    <row r="35" spans="1:10" ht="15.6" x14ac:dyDescent="0.3">
      <c r="A35" s="8"/>
      <c r="B35" s="9" t="s">
        <v>12</v>
      </c>
      <c r="C35" s="9" t="s">
        <v>25</v>
      </c>
      <c r="D35" s="9">
        <v>2015</v>
      </c>
      <c r="E35" s="9">
        <v>14</v>
      </c>
      <c r="F35" s="9">
        <v>16</v>
      </c>
      <c r="G35" s="9">
        <v>71.7</v>
      </c>
      <c r="H35" s="9">
        <v>0.88109999999999999</v>
      </c>
      <c r="I35" s="11">
        <v>11.36</v>
      </c>
      <c r="J35" s="5"/>
    </row>
    <row r="36" spans="1:10" ht="15.6" x14ac:dyDescent="0.3">
      <c r="A36" s="8"/>
      <c r="B36" s="9" t="s">
        <v>12</v>
      </c>
      <c r="C36" s="9" t="s">
        <v>25</v>
      </c>
      <c r="D36" s="9">
        <v>2015</v>
      </c>
      <c r="E36" s="9">
        <v>22</v>
      </c>
      <c r="F36" s="9">
        <v>25</v>
      </c>
      <c r="G36" s="9">
        <v>71.7</v>
      </c>
      <c r="H36" s="9">
        <v>0.88109999999999999</v>
      </c>
      <c r="I36" s="11">
        <v>17.86</v>
      </c>
      <c r="J36" s="5"/>
    </row>
    <row r="37" spans="1:10" ht="15.6" x14ac:dyDescent="0.3">
      <c r="A37" s="8"/>
      <c r="B37" s="9"/>
      <c r="C37" s="9"/>
      <c r="D37" s="9"/>
      <c r="E37" s="9"/>
      <c r="F37" s="9"/>
      <c r="G37" s="9"/>
      <c r="H37" s="9"/>
      <c r="I37" s="9"/>
      <c r="J37" s="5"/>
    </row>
    <row r="38" spans="1:10" ht="15.6" x14ac:dyDescent="0.3">
      <c r="A38" s="8" t="s">
        <v>36</v>
      </c>
      <c r="B38" s="9" t="s">
        <v>16</v>
      </c>
      <c r="C38" s="9" t="s">
        <v>37</v>
      </c>
      <c r="D38" s="9" t="s">
        <v>38</v>
      </c>
      <c r="E38" s="9"/>
      <c r="F38" s="10">
        <v>1510</v>
      </c>
      <c r="G38" s="9">
        <v>52</v>
      </c>
      <c r="H38" s="9">
        <v>0.92720000000000002</v>
      </c>
      <c r="I38" s="11">
        <v>785.2</v>
      </c>
      <c r="J38" s="5"/>
    </row>
    <row r="39" spans="1:10" ht="15.6" x14ac:dyDescent="0.3">
      <c r="A39" s="8"/>
      <c r="B39" s="9" t="s">
        <v>12</v>
      </c>
      <c r="C39" s="9" t="s">
        <v>22</v>
      </c>
      <c r="D39" s="9">
        <v>2201</v>
      </c>
      <c r="E39" s="9">
        <v>209</v>
      </c>
      <c r="F39" s="9">
        <v>241.1</v>
      </c>
      <c r="G39" s="9">
        <v>77.7</v>
      </c>
      <c r="H39" s="9">
        <v>0.86709999999999998</v>
      </c>
      <c r="I39" s="11">
        <v>187.35</v>
      </c>
      <c r="J39" s="5"/>
    </row>
    <row r="40" spans="1:10" ht="15.6" x14ac:dyDescent="0.3">
      <c r="A40" s="8"/>
      <c r="B40" s="9" t="s">
        <v>12</v>
      </c>
      <c r="C40" s="9" t="s">
        <v>25</v>
      </c>
      <c r="D40" s="9">
        <v>1201</v>
      </c>
      <c r="E40" s="9">
        <v>22</v>
      </c>
      <c r="F40" s="9">
        <v>25</v>
      </c>
      <c r="G40" s="9">
        <v>73.099999999999994</v>
      </c>
      <c r="H40" s="9">
        <v>0.879</v>
      </c>
      <c r="I40" s="11">
        <v>18.28</v>
      </c>
      <c r="J40" s="5"/>
    </row>
    <row r="41" spans="1:10" ht="15.6" x14ac:dyDescent="0.3">
      <c r="A41" s="8"/>
      <c r="B41" s="9" t="s">
        <v>12</v>
      </c>
      <c r="C41" s="9" t="s">
        <v>25</v>
      </c>
      <c r="D41" s="9">
        <v>1303</v>
      </c>
      <c r="E41" s="9">
        <v>28</v>
      </c>
      <c r="F41" s="9">
        <v>31</v>
      </c>
      <c r="G41" s="9">
        <v>67.7</v>
      </c>
      <c r="H41" s="9">
        <v>0.89249999999999996</v>
      </c>
      <c r="I41" s="11">
        <v>21.23</v>
      </c>
      <c r="J41" s="5"/>
    </row>
    <row r="42" spans="1:10" ht="15.6" x14ac:dyDescent="0.3">
      <c r="A42" s="8"/>
      <c r="B42" s="9" t="s">
        <v>12</v>
      </c>
      <c r="C42" s="9" t="s">
        <v>25</v>
      </c>
      <c r="D42" s="9">
        <v>1701</v>
      </c>
      <c r="E42" s="9">
        <v>22</v>
      </c>
      <c r="F42" s="9">
        <v>25</v>
      </c>
      <c r="G42" s="9">
        <v>76.5</v>
      </c>
      <c r="H42" s="9">
        <v>0.87029999999999996</v>
      </c>
      <c r="I42" s="11">
        <v>19.12</v>
      </c>
      <c r="J42" s="5"/>
    </row>
    <row r="43" spans="1:10" ht="15.6" x14ac:dyDescent="0.3">
      <c r="A43" s="8"/>
      <c r="B43" s="9"/>
      <c r="C43" s="9"/>
      <c r="D43" s="9"/>
      <c r="E43" s="9"/>
      <c r="F43" s="9"/>
      <c r="G43" s="9"/>
      <c r="H43" s="9"/>
      <c r="I43" s="9"/>
      <c r="J43" s="5"/>
    </row>
    <row r="44" spans="1:10" ht="15.6" x14ac:dyDescent="0.3">
      <c r="A44" s="8"/>
      <c r="B44" s="9"/>
      <c r="C44" s="9"/>
      <c r="D44" s="9"/>
      <c r="E44" s="9"/>
      <c r="F44" s="9"/>
      <c r="G44" s="9"/>
      <c r="H44" s="9"/>
      <c r="I44" s="9"/>
      <c r="J44" s="5"/>
    </row>
    <row r="45" spans="1:10" ht="15.6" x14ac:dyDescent="0.3">
      <c r="A45" s="8" t="s">
        <v>39</v>
      </c>
      <c r="B45" s="9" t="s">
        <v>16</v>
      </c>
      <c r="C45" s="9" t="s">
        <v>24</v>
      </c>
      <c r="D45" s="9">
        <v>1301</v>
      </c>
      <c r="E45" s="9">
        <v>0</v>
      </c>
      <c r="F45" s="9">
        <v>6.75</v>
      </c>
      <c r="G45" s="9">
        <v>54.2</v>
      </c>
      <c r="H45" s="9">
        <v>0.92330000000000001</v>
      </c>
      <c r="I45" s="11">
        <v>3.64</v>
      </c>
      <c r="J45" s="5"/>
    </row>
    <row r="46" spans="1:10" ht="15.6" x14ac:dyDescent="0.3">
      <c r="A46" s="8"/>
      <c r="B46" s="9" t="s">
        <v>12</v>
      </c>
      <c r="C46" s="9" t="s">
        <v>22</v>
      </c>
      <c r="D46" s="9">
        <v>2023</v>
      </c>
      <c r="E46" s="9">
        <v>134</v>
      </c>
      <c r="F46" s="9">
        <v>154.6</v>
      </c>
      <c r="G46" s="9">
        <v>77.900000000000006</v>
      </c>
      <c r="H46" s="9">
        <v>0.86609999999999998</v>
      </c>
      <c r="I46" s="11">
        <v>120.43</v>
      </c>
      <c r="J46" s="5"/>
    </row>
    <row r="47" spans="1:10" ht="15.6" x14ac:dyDescent="0.3">
      <c r="A47" s="8"/>
      <c r="B47" s="9"/>
      <c r="C47" s="9"/>
      <c r="D47" s="9"/>
      <c r="E47" s="9"/>
      <c r="F47" s="9"/>
      <c r="G47" s="9"/>
      <c r="H47" s="9"/>
      <c r="I47" s="9"/>
      <c r="J47" s="5"/>
    </row>
    <row r="48" spans="1:10" ht="15.6" x14ac:dyDescent="0.3">
      <c r="A48" s="8" t="s">
        <v>49</v>
      </c>
      <c r="B48" s="9" t="s">
        <v>12</v>
      </c>
      <c r="C48" s="9" t="s">
        <v>25</v>
      </c>
      <c r="D48" s="9">
        <v>1701</v>
      </c>
      <c r="E48" s="9"/>
      <c r="F48" s="9">
        <v>30.5</v>
      </c>
      <c r="G48" s="9">
        <v>74.5</v>
      </c>
      <c r="H48" s="9">
        <v>0.87549999999999994</v>
      </c>
      <c r="I48" s="11">
        <v>22.72</v>
      </c>
      <c r="J48" s="5"/>
    </row>
    <row r="49" spans="1:10" ht="15.6" x14ac:dyDescent="0.3">
      <c r="A49" s="8"/>
      <c r="B49" s="9"/>
      <c r="C49" s="9"/>
      <c r="D49" s="9"/>
      <c r="E49" s="9"/>
      <c r="F49" s="9"/>
      <c r="G49" s="9"/>
      <c r="H49" s="9"/>
      <c r="I49" s="9"/>
      <c r="J49" s="5"/>
    </row>
    <row r="50" spans="1:10" ht="15.6" x14ac:dyDescent="0.3">
      <c r="A50" s="8" t="s">
        <v>40</v>
      </c>
      <c r="B50" s="9" t="s">
        <v>16</v>
      </c>
      <c r="C50" s="9" t="s">
        <v>24</v>
      </c>
      <c r="D50" s="9">
        <v>1301</v>
      </c>
      <c r="E50" s="9">
        <v>0</v>
      </c>
      <c r="F50" s="9">
        <v>6.75</v>
      </c>
      <c r="G50" s="9">
        <v>54.2</v>
      </c>
      <c r="H50" s="9">
        <v>0.92330000000000001</v>
      </c>
      <c r="I50" s="11">
        <v>3.64</v>
      </c>
      <c r="J50" s="5"/>
    </row>
    <row r="51" spans="1:10" ht="15.6" x14ac:dyDescent="0.3">
      <c r="A51" s="8"/>
      <c r="B51" s="9" t="s">
        <v>12</v>
      </c>
      <c r="C51" s="9" t="s">
        <v>22</v>
      </c>
      <c r="D51" s="9">
        <v>2014</v>
      </c>
      <c r="E51" s="9">
        <v>61</v>
      </c>
      <c r="F51" s="9">
        <v>70.45</v>
      </c>
      <c r="G51" s="9">
        <v>72.7</v>
      </c>
      <c r="H51" s="9">
        <v>0.88149999999999995</v>
      </c>
      <c r="I51" s="11">
        <v>51.18</v>
      </c>
      <c r="J51" s="5"/>
    </row>
    <row r="52" spans="1:10" ht="15.6" x14ac:dyDescent="0.3">
      <c r="A52" s="8"/>
      <c r="B52" s="9"/>
      <c r="C52" s="9"/>
      <c r="D52" s="9"/>
      <c r="E52" s="9"/>
      <c r="F52" s="9"/>
      <c r="G52" s="9"/>
      <c r="H52" s="9"/>
      <c r="I52" s="9"/>
      <c r="J52" s="5"/>
    </row>
    <row r="53" spans="1:10" ht="15.6" x14ac:dyDescent="0.3">
      <c r="A53" s="8" t="s">
        <v>41</v>
      </c>
      <c r="B53" s="9" t="s">
        <v>16</v>
      </c>
      <c r="C53" s="9" t="s">
        <v>22</v>
      </c>
      <c r="D53" s="9">
        <v>1400</v>
      </c>
      <c r="E53" s="9">
        <v>76</v>
      </c>
      <c r="F53" s="9">
        <v>81</v>
      </c>
      <c r="G53" s="9">
        <v>47.1</v>
      </c>
      <c r="H53" s="9">
        <v>0.93730000000000002</v>
      </c>
      <c r="I53" s="11">
        <v>38.15</v>
      </c>
      <c r="J53" s="5"/>
    </row>
    <row r="54" spans="1:10" ht="15.6" x14ac:dyDescent="0.3">
      <c r="A54" s="8"/>
      <c r="B54" s="9" t="s">
        <v>16</v>
      </c>
      <c r="C54" s="9" t="s">
        <v>24</v>
      </c>
      <c r="D54" s="9">
        <v>1304</v>
      </c>
      <c r="E54" s="9"/>
      <c r="F54" s="9">
        <v>6.75</v>
      </c>
      <c r="G54" s="9">
        <v>51</v>
      </c>
      <c r="H54" s="9">
        <v>0.92979999999999996</v>
      </c>
      <c r="I54" s="11">
        <v>3.44</v>
      </c>
      <c r="J54" s="5"/>
    </row>
    <row r="55" spans="1:10" ht="15.6" x14ac:dyDescent="0.3">
      <c r="A55" s="8"/>
      <c r="B55" s="9"/>
      <c r="C55" s="9"/>
      <c r="D55" s="9"/>
      <c r="E55" s="9"/>
      <c r="F55" s="9"/>
      <c r="G55" s="9"/>
      <c r="H55" s="9"/>
      <c r="I55" s="11"/>
      <c r="J55" s="5"/>
    </row>
    <row r="56" spans="1:10" ht="15.6" x14ac:dyDescent="0.3">
      <c r="A56" s="8"/>
      <c r="B56" s="9"/>
      <c r="C56" s="9"/>
      <c r="D56" s="9"/>
      <c r="E56" s="9"/>
      <c r="F56" s="9"/>
      <c r="G56" s="9"/>
      <c r="H56" s="9"/>
      <c r="I56" s="11"/>
      <c r="J56" s="5"/>
    </row>
    <row r="57" spans="1:10" ht="15.6" x14ac:dyDescent="0.3">
      <c r="A57" s="8"/>
      <c r="B57" s="9"/>
      <c r="C57" s="9"/>
      <c r="D57" s="9"/>
      <c r="E57" s="9"/>
      <c r="F57" s="9"/>
      <c r="G57" s="9"/>
      <c r="H57" s="9"/>
      <c r="I57" s="9"/>
      <c r="J57" s="5"/>
    </row>
    <row r="58" spans="1:10" ht="15.6" x14ac:dyDescent="0.3">
      <c r="A58" s="8" t="s">
        <v>42</v>
      </c>
      <c r="B58" s="9" t="s">
        <v>16</v>
      </c>
      <c r="C58" s="9" t="s">
        <v>24</v>
      </c>
      <c r="D58" s="9">
        <v>1301</v>
      </c>
      <c r="E58" s="9">
        <v>0</v>
      </c>
      <c r="F58" s="9">
        <v>6</v>
      </c>
      <c r="G58" s="9">
        <v>51.6</v>
      </c>
      <c r="H58" s="9">
        <v>0.92859999999999998</v>
      </c>
      <c r="I58" s="11">
        <v>3.08</v>
      </c>
      <c r="J58" s="5"/>
    </row>
    <row r="59" spans="1:10" ht="15.6" x14ac:dyDescent="0.3">
      <c r="A59" s="8"/>
      <c r="B59" s="9" t="s">
        <v>16</v>
      </c>
      <c r="C59" s="9" t="s">
        <v>25</v>
      </c>
      <c r="D59" s="9">
        <v>1400</v>
      </c>
      <c r="E59" s="9">
        <v>30</v>
      </c>
      <c r="F59" s="9">
        <v>31.56</v>
      </c>
      <c r="G59" s="9">
        <v>39.5</v>
      </c>
      <c r="H59" s="9">
        <v>0.95050000000000001</v>
      </c>
      <c r="I59" s="11">
        <v>12.46</v>
      </c>
      <c r="J59" s="5"/>
    </row>
    <row r="60" spans="1:10" ht="15.6" x14ac:dyDescent="0.3">
      <c r="A60" s="8"/>
      <c r="B60" s="9" t="s">
        <v>12</v>
      </c>
      <c r="C60" s="9" t="s">
        <v>43</v>
      </c>
      <c r="D60" s="9">
        <v>1301</v>
      </c>
      <c r="E60" s="9">
        <v>13</v>
      </c>
      <c r="F60" s="9">
        <v>15.8</v>
      </c>
      <c r="G60" s="9">
        <v>70.5</v>
      </c>
      <c r="H60" s="9">
        <v>0.88600000000000001</v>
      </c>
      <c r="I60" s="11">
        <v>11.13</v>
      </c>
      <c r="J60" s="5"/>
    </row>
    <row r="61" spans="1:10" ht="15.6" x14ac:dyDescent="0.3">
      <c r="A61" s="8"/>
      <c r="B61" s="9"/>
      <c r="C61" s="9"/>
      <c r="D61" s="9"/>
      <c r="E61" s="9"/>
      <c r="F61" s="9"/>
      <c r="G61" s="9"/>
      <c r="H61" s="9"/>
      <c r="I61" s="9"/>
      <c r="J61" s="5"/>
    </row>
    <row r="62" spans="1:10" ht="15.6" x14ac:dyDescent="0.3">
      <c r="A62" s="8" t="s">
        <v>44</v>
      </c>
      <c r="B62" s="9" t="s">
        <v>12</v>
      </c>
      <c r="C62" s="9" t="s">
        <v>25</v>
      </c>
      <c r="D62" s="9">
        <v>2015</v>
      </c>
      <c r="E62" s="9">
        <v>22</v>
      </c>
      <c r="F62" s="9">
        <v>25</v>
      </c>
      <c r="G62" s="9">
        <v>74</v>
      </c>
      <c r="H62" s="9">
        <v>0.877</v>
      </c>
      <c r="I62" s="11">
        <v>18.5</v>
      </c>
      <c r="J62" s="5"/>
    </row>
    <row r="63" spans="1:10" ht="15.6" x14ac:dyDescent="0.3">
      <c r="A63" s="8"/>
      <c r="B63" s="9"/>
      <c r="C63" s="9"/>
      <c r="D63" s="9"/>
      <c r="E63" s="9"/>
      <c r="F63" s="9"/>
      <c r="G63" s="9"/>
      <c r="H63" s="9"/>
      <c r="I63" s="9"/>
      <c r="J63" s="5"/>
    </row>
    <row r="64" spans="1:10" ht="15.6" x14ac:dyDescent="0.3">
      <c r="A64" s="8" t="s">
        <v>47</v>
      </c>
      <c r="B64" s="9" t="s">
        <v>12</v>
      </c>
      <c r="C64" s="9" t="s">
        <v>48</v>
      </c>
      <c r="D64" s="9" t="s">
        <v>47</v>
      </c>
      <c r="E64" s="9">
        <v>120</v>
      </c>
      <c r="F64" s="9">
        <v>138.9</v>
      </c>
      <c r="G64" s="9">
        <v>78.3</v>
      </c>
      <c r="H64" s="9">
        <v>0.86950000000000005</v>
      </c>
      <c r="I64" s="11">
        <v>391.44</v>
      </c>
      <c r="J64" s="5"/>
    </row>
    <row r="65" spans="1:10" ht="15.6" x14ac:dyDescent="0.3">
      <c r="A65" s="8"/>
      <c r="B65" s="9"/>
      <c r="C65" s="9"/>
      <c r="D65" s="9"/>
      <c r="E65" s="9"/>
      <c r="F65" s="9"/>
      <c r="G65" s="9"/>
      <c r="H65" s="9"/>
      <c r="I65" s="9"/>
      <c r="J65" s="5"/>
    </row>
    <row r="66" spans="1:10" ht="15.6" x14ac:dyDescent="0.3">
      <c r="A66" s="8" t="s">
        <v>45</v>
      </c>
      <c r="B66" s="9" t="s">
        <v>12</v>
      </c>
      <c r="C66" s="9" t="s">
        <v>43</v>
      </c>
      <c r="D66" s="9">
        <v>2012</v>
      </c>
      <c r="E66" s="9">
        <v>5.6</v>
      </c>
      <c r="F66" s="9">
        <v>6</v>
      </c>
      <c r="G66" s="9">
        <v>77.400000000000006</v>
      </c>
      <c r="H66" s="9">
        <v>0.86799999999999999</v>
      </c>
      <c r="I66" s="11">
        <v>4.99</v>
      </c>
      <c r="J66" s="5"/>
    </row>
    <row r="67" spans="1:10" ht="15.6" x14ac:dyDescent="0.3">
      <c r="A67" s="8" t="s">
        <v>45</v>
      </c>
      <c r="B67" s="9" t="s">
        <v>46</v>
      </c>
      <c r="C67" s="9" t="s">
        <v>43</v>
      </c>
      <c r="D67" s="9">
        <v>2012</v>
      </c>
      <c r="E67" s="9">
        <v>5.6</v>
      </c>
      <c r="F67" s="9">
        <v>6</v>
      </c>
      <c r="G67" s="9">
        <v>74</v>
      </c>
      <c r="H67" s="9">
        <v>0.877</v>
      </c>
      <c r="I67" s="9">
        <v>4.33</v>
      </c>
      <c r="J67" s="5"/>
    </row>
    <row r="68" spans="1:10" ht="15.6" x14ac:dyDescent="0.3">
      <c r="A68" s="8"/>
      <c r="B68" s="9"/>
      <c r="C68" s="9"/>
      <c r="D68" s="9"/>
      <c r="E68" s="9"/>
      <c r="F68" s="9"/>
      <c r="G68" s="9"/>
      <c r="H68" s="9"/>
      <c r="I68" s="9"/>
      <c r="J68" s="5"/>
    </row>
    <row r="69" spans="1:10" ht="15.6" x14ac:dyDescent="0.3">
      <c r="A69" s="8"/>
      <c r="B69" s="9"/>
      <c r="C69" s="9"/>
      <c r="D69" s="9"/>
      <c r="E69" s="9"/>
      <c r="F69" s="9"/>
      <c r="G69" s="9"/>
      <c r="H69" s="9"/>
      <c r="I69" s="9"/>
      <c r="J69" s="5"/>
    </row>
    <row r="70" spans="1:10" ht="15.6" x14ac:dyDescent="0.3">
      <c r="A70" s="8" t="s">
        <v>50</v>
      </c>
      <c r="B70" s="9" t="s">
        <v>12</v>
      </c>
      <c r="C70" s="9" t="s">
        <v>25</v>
      </c>
      <c r="D70" s="9">
        <v>2012</v>
      </c>
      <c r="E70" s="9">
        <v>27</v>
      </c>
      <c r="F70" s="9">
        <v>31</v>
      </c>
      <c r="G70" s="9">
        <v>75.3</v>
      </c>
      <c r="H70" s="9">
        <v>0.87350000000000005</v>
      </c>
      <c r="I70" s="9">
        <v>23.27</v>
      </c>
      <c r="J70" s="5"/>
    </row>
    <row r="71" spans="1:10" ht="15.6" x14ac:dyDescent="0.3">
      <c r="A71" s="8"/>
      <c r="B71" s="9" t="s">
        <v>12</v>
      </c>
      <c r="C71" s="9" t="s">
        <v>25</v>
      </c>
      <c r="D71" s="9">
        <v>2012</v>
      </c>
      <c r="E71" s="9">
        <v>27</v>
      </c>
      <c r="F71" s="9">
        <v>31</v>
      </c>
      <c r="G71" s="9">
        <v>75.3</v>
      </c>
      <c r="H71" s="9">
        <v>0.87350000000000005</v>
      </c>
      <c r="I71" s="9">
        <v>23.27</v>
      </c>
      <c r="J71" s="5"/>
    </row>
    <row r="72" spans="1:10" ht="15.6" x14ac:dyDescent="0.3">
      <c r="A72" s="8"/>
      <c r="B72" s="9" t="s">
        <v>12</v>
      </c>
      <c r="C72" s="9" t="s">
        <v>25</v>
      </c>
      <c r="D72" s="9">
        <v>2012</v>
      </c>
      <c r="E72" s="9">
        <v>27</v>
      </c>
      <c r="F72" s="9">
        <v>31</v>
      </c>
      <c r="G72" s="9">
        <v>75.3</v>
      </c>
      <c r="H72" s="9">
        <v>0.87350000000000005</v>
      </c>
      <c r="I72" s="9">
        <v>23.27</v>
      </c>
      <c r="J72" s="5"/>
    </row>
    <row r="73" spans="1:10" ht="15.6" x14ac:dyDescent="0.3">
      <c r="A73" s="8"/>
      <c r="B73" s="9"/>
      <c r="C73" s="9"/>
      <c r="D73" s="9"/>
      <c r="E73" s="9"/>
      <c r="F73" s="9"/>
      <c r="G73" s="9"/>
      <c r="H73" s="9"/>
      <c r="I73" s="9"/>
      <c r="J73" s="5"/>
    </row>
    <row r="74" spans="1:10" ht="15.6" x14ac:dyDescent="0.3">
      <c r="A74" s="8"/>
      <c r="B74" s="9"/>
      <c r="C74" s="9"/>
      <c r="D74" s="9"/>
      <c r="E74" s="9"/>
      <c r="F74" s="9"/>
      <c r="G74" s="9"/>
      <c r="H74" s="9"/>
      <c r="I74" s="9"/>
      <c r="J74" s="5"/>
    </row>
    <row r="75" spans="1:10" ht="15.6" x14ac:dyDescent="0.3">
      <c r="A75" s="8" t="s">
        <v>51</v>
      </c>
      <c r="B75" s="9" t="s">
        <v>12</v>
      </c>
      <c r="C75" s="9" t="s">
        <v>25</v>
      </c>
      <c r="D75" s="9" t="s">
        <v>55</v>
      </c>
      <c r="E75" s="9">
        <v>25.1</v>
      </c>
      <c r="F75" s="9">
        <v>28.61</v>
      </c>
      <c r="G75" s="9">
        <v>73</v>
      </c>
      <c r="H75" s="9">
        <v>0.83250000000000002</v>
      </c>
      <c r="I75" s="9">
        <v>20.89</v>
      </c>
      <c r="J75" s="5"/>
    </row>
    <row r="76" spans="1:10" ht="15.6" x14ac:dyDescent="0.3">
      <c r="A76" s="8"/>
      <c r="B76" s="9" t="s">
        <v>12</v>
      </c>
      <c r="C76" s="9" t="s">
        <v>25</v>
      </c>
      <c r="D76" s="9" t="s">
        <v>52</v>
      </c>
      <c r="E76" s="9">
        <v>25.4</v>
      </c>
      <c r="F76" s="9">
        <v>29</v>
      </c>
      <c r="G76" s="9">
        <v>73</v>
      </c>
      <c r="H76" s="9">
        <v>0.83250000000000002</v>
      </c>
      <c r="I76" s="9">
        <v>21.14</v>
      </c>
      <c r="J76" s="5"/>
    </row>
    <row r="77" spans="1:10" ht="15.6" x14ac:dyDescent="0.3">
      <c r="A77" s="8"/>
      <c r="B77" s="9" t="s">
        <v>12</v>
      </c>
      <c r="C77" s="9" t="s">
        <v>25</v>
      </c>
      <c r="D77" s="9" t="s">
        <v>52</v>
      </c>
      <c r="E77" s="9">
        <v>26.4</v>
      </c>
      <c r="F77" s="9">
        <v>30.17</v>
      </c>
      <c r="G77" s="9">
        <v>73</v>
      </c>
      <c r="H77" s="9">
        <v>0.83250000000000002</v>
      </c>
      <c r="I77" s="9">
        <v>22.02</v>
      </c>
      <c r="J77" s="5"/>
    </row>
    <row r="78" spans="1:10" ht="15.6" x14ac:dyDescent="0.3">
      <c r="A78" s="8"/>
      <c r="B78" s="9" t="s">
        <v>12</v>
      </c>
      <c r="C78" s="9" t="s">
        <v>25</v>
      </c>
      <c r="D78" s="9" t="s">
        <v>53</v>
      </c>
      <c r="E78" s="9">
        <v>23.1</v>
      </c>
      <c r="F78" s="9">
        <v>26.34</v>
      </c>
      <c r="G78" s="9">
        <v>73</v>
      </c>
      <c r="H78" s="9">
        <v>0.83250000000000002</v>
      </c>
      <c r="I78" s="9">
        <v>19.23</v>
      </c>
      <c r="J78" s="5"/>
    </row>
    <row r="79" spans="1:10" ht="15.6" x14ac:dyDescent="0.3">
      <c r="A79" s="8"/>
      <c r="B79" s="9" t="s">
        <v>12</v>
      </c>
      <c r="C79" s="9" t="s">
        <v>25</v>
      </c>
      <c r="D79" s="9" t="s">
        <v>54</v>
      </c>
      <c r="E79" s="9">
        <v>25.9</v>
      </c>
      <c r="F79" s="9">
        <v>29.53</v>
      </c>
      <c r="G79" s="9">
        <v>73</v>
      </c>
      <c r="H79" s="9">
        <v>0.83250000000000002</v>
      </c>
      <c r="I79" s="9">
        <v>21.56</v>
      </c>
      <c r="J79" s="5"/>
    </row>
    <row r="80" spans="1:10" ht="15.6" x14ac:dyDescent="0.3">
      <c r="A80" s="8"/>
      <c r="B80" s="9"/>
      <c r="C80" s="9"/>
      <c r="D80" s="9"/>
      <c r="E80" s="9"/>
      <c r="F80" s="9"/>
      <c r="G80" s="9"/>
      <c r="H80" s="9"/>
      <c r="I80" s="9"/>
      <c r="J80" s="5"/>
    </row>
    <row r="81" spans="1:11" ht="15.6" x14ac:dyDescent="0.3">
      <c r="A81" s="8"/>
      <c r="B81" s="9"/>
      <c r="C81" s="9"/>
      <c r="D81" s="9"/>
      <c r="E81" s="9"/>
      <c r="F81" s="9"/>
      <c r="G81" s="9"/>
      <c r="H81" s="9"/>
      <c r="I81" s="9"/>
      <c r="J81" s="5"/>
    </row>
    <row r="82" spans="1:11" ht="15.6" x14ac:dyDescent="0.3">
      <c r="A82" s="8"/>
      <c r="B82" s="9"/>
      <c r="C82" s="9"/>
      <c r="D82" s="9"/>
      <c r="E82" s="9"/>
      <c r="F82" s="9"/>
      <c r="G82" s="9"/>
      <c r="H82" s="9"/>
      <c r="I82" s="14">
        <f>SUM(I7:I80)</f>
        <v>17149.200000000008</v>
      </c>
      <c r="J82" s="5"/>
      <c r="K82" s="4"/>
    </row>
  </sheetData>
  <pageMargins left="0.70866141732283472" right="0.70866141732283472" top="0.78740157480314965" bottom="0.78740157480314965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Edith</cp:lastModifiedBy>
  <cp:lastPrinted>2025-03-18T08:42:35Z</cp:lastPrinted>
  <dcterms:created xsi:type="dcterms:W3CDTF">2025-03-17T08:19:08Z</dcterms:created>
  <dcterms:modified xsi:type="dcterms:W3CDTF">2025-03-18T08:44:12Z</dcterms:modified>
</cp:coreProperties>
</file>